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bro ESP32" sheetId="1" state="visible" r:id="rId1"/>
    <sheet name="Camara ESP32-CAM" sheetId="2" state="visible" r:id="rId2"/>
    <sheet name="Resumen GPIOs" sheetId="3" state="visible" r:id="rId3"/>
    <sheet name="Direcciones I2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3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55" customWidth="1" min="5" max="5"/>
  </cols>
  <sheetData>
    <row r="1">
      <c r="A1" s="1" t="inlineStr">
        <is>
          <t>Componente</t>
        </is>
      </c>
      <c r="B1" s="1" t="inlineStr">
        <is>
          <t>Pin del Componente</t>
        </is>
      </c>
      <c r="C1" s="1" t="inlineStr">
        <is>
          <t>GPIO del ESP32</t>
        </is>
      </c>
      <c r="D1" s="1" t="inlineStr">
        <is>
          <t>Tipo de Señal</t>
        </is>
      </c>
      <c r="E1" s="1" t="inlineStr">
        <is>
          <t>Descripción</t>
        </is>
      </c>
    </row>
    <row r="2">
      <c r="A2" s="2">
        <f>= BUS I2C (compartido) ==</f>
        <v/>
      </c>
      <c r="B2" s="3" t="n"/>
      <c r="C2" s="3" t="n"/>
      <c r="D2" s="3" t="n"/>
      <c r="E2" s="4" t="n"/>
    </row>
    <row r="3">
      <c r="A3" s="5" t="inlineStr">
        <is>
          <t>Bus I2C</t>
        </is>
      </c>
      <c r="B3" s="5" t="inlineStr">
        <is>
          <t>SDA (todos los sensores I2C)</t>
        </is>
      </c>
      <c r="C3" s="5" t="inlineStr">
        <is>
          <t>GPIO16</t>
        </is>
      </c>
      <c r="D3" s="5" t="inlineStr">
        <is>
          <t>I2C Data</t>
        </is>
      </c>
      <c r="E3" s="5" t="inlineStr">
        <is>
          <t>Línea de datos I2C — se puentea a todos los sensores I2C (ToF x3 + BNO055)</t>
        </is>
      </c>
    </row>
    <row r="4">
      <c r="A4" s="5" t="inlineStr">
        <is>
          <t>Bus I2C</t>
        </is>
      </c>
      <c r="B4" s="5" t="inlineStr">
        <is>
          <t>SCL (todos los sensores I2C)</t>
        </is>
      </c>
      <c r="C4" s="5" t="inlineStr">
        <is>
          <t>GPIO17</t>
        </is>
      </c>
      <c r="D4" s="5" t="inlineStr">
        <is>
          <t>I2C Clock</t>
        </is>
      </c>
      <c r="E4" s="5" t="inlineStr">
        <is>
          <t>Línea de reloj I2C — se puentea a todos los sensores I2C (ToF x3 + BNO055)</t>
        </is>
      </c>
    </row>
    <row r="6">
      <c r="A6" s="2">
        <f>= SENSORES ToF VL53L0X ==</f>
        <v/>
      </c>
      <c r="B6" s="3" t="n"/>
      <c r="C6" s="3" t="n"/>
      <c r="D6" s="3" t="n"/>
      <c r="E6" s="4" t="n"/>
    </row>
    <row r="7">
      <c r="A7" s="5" t="inlineStr">
        <is>
          <t>VL53L0X #1 (Frente)</t>
        </is>
      </c>
      <c r="B7" s="5" t="inlineStr">
        <is>
          <t>VCC</t>
        </is>
      </c>
      <c r="C7" s="5" t="inlineStr">
        <is>
          <t>3.3V</t>
        </is>
      </c>
      <c r="D7" s="5" t="inlineStr">
        <is>
          <t>Alimentación</t>
        </is>
      </c>
      <c r="E7" s="5" t="inlineStr">
        <is>
          <t>Voltaje de alimentación del sensor — conectar a 3.3V del ESP32</t>
        </is>
      </c>
    </row>
    <row r="8">
      <c r="A8" s="5" t="inlineStr">
        <is>
          <t>VL53L0X #1 (Frente)</t>
        </is>
      </c>
      <c r="B8" s="5" t="inlineStr">
        <is>
          <t>GND</t>
        </is>
      </c>
      <c r="C8" s="5" t="inlineStr">
        <is>
          <t>GND</t>
        </is>
      </c>
      <c r="D8" s="5" t="inlineStr">
        <is>
          <t>Tierra</t>
        </is>
      </c>
      <c r="E8" s="5" t="inlineStr">
        <is>
          <t>Tierra — conectar a GND del ESP32</t>
        </is>
      </c>
    </row>
    <row r="9">
      <c r="A9" s="5" t="inlineStr">
        <is>
          <t>VL53L0X #1 (Frente)</t>
        </is>
      </c>
      <c r="B9" s="5" t="inlineStr">
        <is>
          <t>SDA</t>
        </is>
      </c>
      <c r="C9" s="5" t="inlineStr">
        <is>
          <t>GPIO16</t>
        </is>
      </c>
      <c r="D9" s="5" t="inlineStr">
        <is>
          <t>I2C Data</t>
        </is>
      </c>
      <c r="E9" s="5" t="inlineStr">
        <is>
          <t>Puenteado al bus I2C compartido — dirección final: 0x30</t>
        </is>
      </c>
    </row>
    <row r="10">
      <c r="A10" s="5" t="inlineStr">
        <is>
          <t>VL53L0X #1 (Frente)</t>
        </is>
      </c>
      <c r="B10" s="5" t="inlineStr">
        <is>
          <t>SCL</t>
        </is>
      </c>
      <c r="C10" s="5" t="inlineStr">
        <is>
          <t>GPIO17</t>
        </is>
      </c>
      <c r="D10" s="5" t="inlineStr">
        <is>
          <t>I2C Clock</t>
        </is>
      </c>
      <c r="E10" s="5" t="inlineStr">
        <is>
          <t>Puenteado al bus I2C compartido</t>
        </is>
      </c>
    </row>
    <row r="11">
      <c r="A11" s="5" t="inlineStr">
        <is>
          <t>VL53L0X #1 (Frente)</t>
        </is>
      </c>
      <c r="B11" s="5" t="inlineStr">
        <is>
          <t>XSHUT</t>
        </is>
      </c>
      <c r="C11" s="5" t="inlineStr">
        <is>
          <t>GPIO5</t>
        </is>
      </c>
      <c r="D11" s="5" t="inlineStr">
        <is>
          <t>Digital OUT</t>
        </is>
      </c>
      <c r="E11" s="5" t="inlineStr">
        <is>
          <t>Control de encendido/apagado — se usa para asignar dirección I2C única. ⚠️ Strapping pin</t>
        </is>
      </c>
    </row>
    <row r="13">
      <c r="A13" s="5" t="inlineStr">
        <is>
          <t>VL53L0X #2 (Izquierda)</t>
        </is>
      </c>
      <c r="B13" s="5" t="inlineStr">
        <is>
          <t>VCC</t>
        </is>
      </c>
      <c r="C13" s="5" t="inlineStr">
        <is>
          <t>3.3V</t>
        </is>
      </c>
      <c r="D13" s="5" t="inlineStr">
        <is>
          <t>Alimentación</t>
        </is>
      </c>
      <c r="E13" s="5" t="inlineStr">
        <is>
          <t>Voltaje de alimentación del sensor</t>
        </is>
      </c>
    </row>
    <row r="14">
      <c r="A14" s="5" t="inlineStr">
        <is>
          <t>VL53L0X #2 (Izquierda)</t>
        </is>
      </c>
      <c r="B14" s="5" t="inlineStr">
        <is>
          <t>GND</t>
        </is>
      </c>
      <c r="C14" s="5" t="inlineStr">
        <is>
          <t>GND</t>
        </is>
      </c>
      <c r="D14" s="5" t="inlineStr">
        <is>
          <t>Tierra</t>
        </is>
      </c>
      <c r="E14" s="5" t="inlineStr">
        <is>
          <t>Tierra</t>
        </is>
      </c>
    </row>
    <row r="15">
      <c r="A15" s="5" t="inlineStr">
        <is>
          <t>VL53L0X #2 (Izquierda)</t>
        </is>
      </c>
      <c r="B15" s="5" t="inlineStr">
        <is>
          <t>SDA</t>
        </is>
      </c>
      <c r="C15" s="5" t="inlineStr">
        <is>
          <t>GPIO16</t>
        </is>
      </c>
      <c r="D15" s="5" t="inlineStr">
        <is>
          <t>I2C Data</t>
        </is>
      </c>
      <c r="E15" s="5" t="inlineStr">
        <is>
          <t>Puenteado al bus I2C compartido — dirección final: 0x31</t>
        </is>
      </c>
    </row>
    <row r="16">
      <c r="A16" s="5" t="inlineStr">
        <is>
          <t>VL53L0X #2 (Izquierda)</t>
        </is>
      </c>
      <c r="B16" s="5" t="inlineStr">
        <is>
          <t>SCL</t>
        </is>
      </c>
      <c r="C16" s="5" t="inlineStr">
        <is>
          <t>GPIO17</t>
        </is>
      </c>
      <c r="D16" s="5" t="inlineStr">
        <is>
          <t>I2C Clock</t>
        </is>
      </c>
      <c r="E16" s="5" t="inlineStr">
        <is>
          <t>Puenteado al bus I2C compartido</t>
        </is>
      </c>
    </row>
    <row r="17">
      <c r="A17" s="5" t="inlineStr">
        <is>
          <t>VL53L0X #2 (Izquierda)</t>
        </is>
      </c>
      <c r="B17" s="5" t="inlineStr">
        <is>
          <t>XSHUT</t>
        </is>
      </c>
      <c r="C17" s="5" t="inlineStr">
        <is>
          <t>GPIO32</t>
        </is>
      </c>
      <c r="D17" s="5" t="inlineStr">
        <is>
          <t>Digital OUT</t>
        </is>
      </c>
      <c r="E17" s="5" t="inlineStr">
        <is>
          <t>Control de encendido/apagado — se usa para asignar dirección I2C única</t>
        </is>
      </c>
    </row>
    <row r="19">
      <c r="A19" s="5" t="inlineStr">
        <is>
          <t>VL53L0X #3 (Derecha)</t>
        </is>
      </c>
      <c r="B19" s="5" t="inlineStr">
        <is>
          <t>VCC</t>
        </is>
      </c>
      <c r="C19" s="5" t="inlineStr">
        <is>
          <t>3.3V</t>
        </is>
      </c>
      <c r="D19" s="5" t="inlineStr">
        <is>
          <t>Alimentación</t>
        </is>
      </c>
      <c r="E19" s="5" t="inlineStr">
        <is>
          <t>Voltaje de alimentación del sensor</t>
        </is>
      </c>
    </row>
    <row r="20">
      <c r="A20" s="5" t="inlineStr">
        <is>
          <t>VL53L0X #3 (Derecha)</t>
        </is>
      </c>
      <c r="B20" s="5" t="inlineStr">
        <is>
          <t>GND</t>
        </is>
      </c>
      <c r="C20" s="5" t="inlineStr">
        <is>
          <t>GND</t>
        </is>
      </c>
      <c r="D20" s="5" t="inlineStr">
        <is>
          <t>Tierra</t>
        </is>
      </c>
      <c r="E20" s="5" t="inlineStr">
        <is>
          <t>Tierra</t>
        </is>
      </c>
    </row>
    <row r="21">
      <c r="A21" s="5" t="inlineStr">
        <is>
          <t>VL53L0X #3 (Derecha)</t>
        </is>
      </c>
      <c r="B21" s="5" t="inlineStr">
        <is>
          <t>SDA</t>
        </is>
      </c>
      <c r="C21" s="5" t="inlineStr">
        <is>
          <t>GPIO16</t>
        </is>
      </c>
      <c r="D21" s="5" t="inlineStr">
        <is>
          <t>I2C Data</t>
        </is>
      </c>
      <c r="E21" s="5" t="inlineStr">
        <is>
          <t>Puenteado al bus I2C compartido — dirección final: 0x32</t>
        </is>
      </c>
    </row>
    <row r="22">
      <c r="A22" s="5" t="inlineStr">
        <is>
          <t>VL53L0X #3 (Derecha)</t>
        </is>
      </c>
      <c r="B22" s="5" t="inlineStr">
        <is>
          <t>SCL</t>
        </is>
      </c>
      <c r="C22" s="5" t="inlineStr">
        <is>
          <t>GPIO17</t>
        </is>
      </c>
      <c r="D22" s="5" t="inlineStr">
        <is>
          <t>I2C Clock</t>
        </is>
      </c>
      <c r="E22" s="5" t="inlineStr">
        <is>
          <t>Puenteado al bus I2C compartido</t>
        </is>
      </c>
    </row>
    <row r="23">
      <c r="A23" s="5" t="inlineStr">
        <is>
          <t>VL53L0X #3 (Derecha)</t>
        </is>
      </c>
      <c r="B23" s="5" t="inlineStr">
        <is>
          <t>XSHUT</t>
        </is>
      </c>
      <c r="C23" s="5" t="inlineStr">
        <is>
          <t>GPIO33</t>
        </is>
      </c>
      <c r="D23" s="5" t="inlineStr">
        <is>
          <t>Digital OUT</t>
        </is>
      </c>
      <c r="E23" s="5" t="inlineStr">
        <is>
          <t>Control de encendido/apagado — se usa para asignar dirección I2C única</t>
        </is>
      </c>
    </row>
    <row r="25">
      <c r="A25" s="2">
        <f>= IMU BNO055 ==</f>
        <v/>
      </c>
      <c r="B25" s="3" t="n"/>
      <c r="C25" s="3" t="n"/>
      <c r="D25" s="3" t="n"/>
      <c r="E25" s="4" t="n"/>
    </row>
    <row r="26">
      <c r="A26" s="5" t="inlineStr">
        <is>
          <t>BNO055 (Brújula/IMU)</t>
        </is>
      </c>
      <c r="B26" s="5" t="inlineStr">
        <is>
          <t>VCC / VIN</t>
        </is>
      </c>
      <c r="C26" s="5" t="inlineStr">
        <is>
          <t>3.3V (o 5V si tiene regulador)</t>
        </is>
      </c>
      <c r="D26" s="5" t="inlineStr">
        <is>
          <t>Alimentación</t>
        </is>
      </c>
      <c r="E26" s="5" t="inlineStr">
        <is>
          <t>Alimentación — revisar si tu módulo acepta 3.3V directo o necesita 5V en VIN</t>
        </is>
      </c>
    </row>
    <row r="27">
      <c r="A27" s="5" t="inlineStr">
        <is>
          <t>BNO055 (Brújula/IMU)</t>
        </is>
      </c>
      <c r="B27" s="5" t="inlineStr">
        <is>
          <t>GND</t>
        </is>
      </c>
      <c r="C27" s="5" t="inlineStr">
        <is>
          <t>GND</t>
        </is>
      </c>
      <c r="D27" s="5" t="inlineStr">
        <is>
          <t>Tierra</t>
        </is>
      </c>
      <c r="E27" s="5" t="inlineStr">
        <is>
          <t>Tierra</t>
        </is>
      </c>
    </row>
    <row r="28">
      <c r="A28" s="5" t="inlineStr">
        <is>
          <t>BNO055 (Brújula/IMU)</t>
        </is>
      </c>
      <c r="B28" s="5" t="inlineStr">
        <is>
          <t>SDA</t>
        </is>
      </c>
      <c r="C28" s="5" t="inlineStr">
        <is>
          <t>GPIO16</t>
        </is>
      </c>
      <c r="D28" s="5" t="inlineStr">
        <is>
          <t>I2C Data</t>
        </is>
      </c>
      <c r="E28" s="5" t="inlineStr">
        <is>
          <t>Puenteado al bus I2C compartido — dirección: 0x29 (ADR sin conectar)</t>
        </is>
      </c>
    </row>
    <row r="29">
      <c r="A29" s="5" t="inlineStr">
        <is>
          <t>BNO055 (Brújula/IMU)</t>
        </is>
      </c>
      <c r="B29" s="5" t="inlineStr">
        <is>
          <t>SCL</t>
        </is>
      </c>
      <c r="C29" s="5" t="inlineStr">
        <is>
          <t>GPIO17</t>
        </is>
      </c>
      <c r="D29" s="5" t="inlineStr">
        <is>
          <t>I2C Clock</t>
        </is>
      </c>
      <c r="E29" s="5" t="inlineStr">
        <is>
          <t>Puenteado al bus I2C compartido</t>
        </is>
      </c>
    </row>
    <row r="30">
      <c r="A30" s="5" t="inlineStr">
        <is>
          <t>BNO055 (Brújula/IMU)</t>
        </is>
      </c>
      <c r="B30" s="5" t="inlineStr">
        <is>
          <t>ADR</t>
        </is>
      </c>
      <c r="C30" s="5" t="inlineStr">
        <is>
          <t>GND o 3.3V</t>
        </is>
      </c>
      <c r="D30" s="5" t="inlineStr">
        <is>
          <t>Dirección</t>
        </is>
      </c>
      <c r="E30" s="5" t="inlineStr">
        <is>
          <t>GND=0x28, 3.3V=0x29. NO dejar flotante — puede causar lecturas inestables</t>
        </is>
      </c>
    </row>
    <row r="32">
      <c r="A32" s="2">
        <f>= SENSOR DE LÍNEA QTR-8A ==</f>
        <v/>
      </c>
      <c r="B32" s="3" t="n"/>
      <c r="C32" s="3" t="n"/>
      <c r="D32" s="3" t="n"/>
      <c r="E32" s="4" t="n"/>
    </row>
    <row r="33">
      <c r="A33" s="5" t="inlineStr">
        <is>
          <t>QTR-8A</t>
        </is>
      </c>
      <c r="B33" s="5" t="inlineStr">
        <is>
          <t>VCC</t>
        </is>
      </c>
      <c r="C33" s="5" t="inlineStr">
        <is>
          <t>3.3V</t>
        </is>
      </c>
      <c r="D33" s="5" t="inlineStr">
        <is>
          <t>Alimentación</t>
        </is>
      </c>
      <c r="E33" s="5" t="inlineStr">
        <is>
          <t>Alimentación del sensor de reflectancia — detecta línea blanca en la cancha</t>
        </is>
      </c>
    </row>
    <row r="34">
      <c r="A34" s="5" t="inlineStr">
        <is>
          <t>QTR-8A</t>
        </is>
      </c>
      <c r="B34" s="5" t="inlineStr">
        <is>
          <t>GND</t>
        </is>
      </c>
      <c r="C34" s="5" t="inlineStr">
        <is>
          <t>GND</t>
        </is>
      </c>
      <c r="D34" s="5" t="inlineStr">
        <is>
          <t>Tierra</t>
        </is>
      </c>
      <c r="E34" s="5" t="inlineStr">
        <is>
          <t>Tierra</t>
        </is>
      </c>
    </row>
    <row r="35">
      <c r="A35" s="5" t="inlineStr">
        <is>
          <t>QTR-8A</t>
        </is>
      </c>
      <c r="B35" s="5" t="inlineStr">
        <is>
          <t>D1 (canal 1)</t>
        </is>
      </c>
      <c r="C35" s="5" t="inlineStr">
        <is>
          <t>GPIO36 (VP)</t>
        </is>
      </c>
      <c r="D35" s="5" t="inlineStr">
        <is>
          <t>ADC Input</t>
        </is>
      </c>
      <c r="E35" s="5" t="inlineStr">
        <is>
          <t>Salida analógica canal 1 — lee reflectancia (0-4095). Valor alto = superficie blanca</t>
        </is>
      </c>
    </row>
    <row r="36">
      <c r="A36" s="5" t="inlineStr">
        <is>
          <t>QTR-8A</t>
        </is>
      </c>
      <c r="B36" s="5" t="inlineStr">
        <is>
          <t>D2 (canal 2)</t>
        </is>
      </c>
      <c r="C36" s="5" t="inlineStr">
        <is>
          <t>GPIO39 (VN)</t>
        </is>
      </c>
      <c r="D36" s="5" t="inlineStr">
        <is>
          <t>ADC Input</t>
        </is>
      </c>
      <c r="E36" s="5" t="inlineStr">
        <is>
          <t>Salida analógica canal 2 — lee reflectancia (0-4095). Umbral: 3500</t>
        </is>
      </c>
    </row>
    <row r="38">
      <c r="A38" s="2">
        <f>= MOTORES (BTS7960) ==</f>
        <v/>
      </c>
      <c r="B38" s="3" t="n"/>
      <c r="C38" s="3" t="n"/>
      <c r="D38" s="3" t="n"/>
      <c r="E38" s="4" t="n"/>
    </row>
    <row r="39">
      <c r="A39" s="5" t="inlineStr">
        <is>
          <t>Motor Izquierdo</t>
        </is>
      </c>
      <c r="B39" s="5" t="inlineStr">
        <is>
          <t>R_PWM (BTS7960)</t>
        </is>
      </c>
      <c r="C39" s="5" t="inlineStr">
        <is>
          <t>GPIO26</t>
        </is>
      </c>
      <c r="D39" s="5" t="inlineStr">
        <is>
          <t>PWM Output</t>
        </is>
      </c>
      <c r="E39" s="5" t="inlineStr">
        <is>
          <t>Señal PWM para avance del motor izquierdo (0-255)</t>
        </is>
      </c>
    </row>
    <row r="40">
      <c r="A40" s="5" t="inlineStr">
        <is>
          <t>Motor Izquierdo</t>
        </is>
      </c>
      <c r="B40" s="5" t="inlineStr">
        <is>
          <t>L_PWM (BTS7960)</t>
        </is>
      </c>
      <c r="C40" s="5" t="inlineStr">
        <is>
          <t>GPIO25</t>
        </is>
      </c>
      <c r="D40" s="5" t="inlineStr">
        <is>
          <t>PWM Output</t>
        </is>
      </c>
      <c r="E40" s="5" t="inlineStr">
        <is>
          <t>Señal PWM para reversa del motor izquierdo (0-255)</t>
        </is>
      </c>
    </row>
    <row r="41">
      <c r="A41" s="5" t="inlineStr">
        <is>
          <t>Motor Derecho</t>
        </is>
      </c>
      <c r="B41" s="5" t="inlineStr">
        <is>
          <t>R_PWM (BTS7960)</t>
        </is>
      </c>
      <c r="C41" s="5" t="inlineStr">
        <is>
          <t>GPIO14</t>
        </is>
      </c>
      <c r="D41" s="5" t="inlineStr">
        <is>
          <t>PWM Output</t>
        </is>
      </c>
      <c r="E41" s="5" t="inlineStr">
        <is>
          <t>Señal PWM para avance del motor derecho (0-255)</t>
        </is>
      </c>
    </row>
    <row r="42">
      <c r="A42" s="5" t="inlineStr">
        <is>
          <t>Motor Derecho</t>
        </is>
      </c>
      <c r="B42" s="5" t="inlineStr">
        <is>
          <t>L_PWM (BTS7960)</t>
        </is>
      </c>
      <c r="C42" s="5" t="inlineStr">
        <is>
          <t>GPIO27</t>
        </is>
      </c>
      <c r="D42" s="5" t="inlineStr">
        <is>
          <t>PWM Output</t>
        </is>
      </c>
      <c r="E42" s="5" t="inlineStr">
        <is>
          <t>Señal PWM para reversa del motor derecho (0-255)</t>
        </is>
      </c>
    </row>
    <row r="43">
      <c r="A43" s="5" t="inlineStr">
        <is>
          <t>BTS7960 (ambos)</t>
        </is>
      </c>
      <c r="B43" s="5" t="inlineStr">
        <is>
          <t>VCC motor</t>
        </is>
      </c>
      <c r="C43" s="5" t="inlineStr">
        <is>
          <t>Batería LiPo 12V</t>
        </is>
      </c>
      <c r="D43" s="5" t="inlineStr">
        <is>
          <t>Alimentación</t>
        </is>
      </c>
      <c r="E43" s="5" t="inlineStr">
        <is>
          <t>Los motores se alimentan de la batería, NO del ESP32. Solo comparten GND</t>
        </is>
      </c>
    </row>
    <row r="44">
      <c r="A44" s="5" t="inlineStr">
        <is>
          <t>BTS7960 (ambos)</t>
        </is>
      </c>
      <c r="B44" s="5" t="inlineStr">
        <is>
          <t>GND</t>
        </is>
      </c>
      <c r="C44" s="5" t="inlineStr">
        <is>
          <t>GND (compartido)</t>
        </is>
      </c>
      <c r="D44" s="5" t="inlineStr">
        <is>
          <t>Tierra</t>
        </is>
      </c>
      <c r="E44" s="5" t="inlineStr">
        <is>
          <t>GND del driver debe ir al GND del ESP32 Y al GND de la batería</t>
        </is>
      </c>
    </row>
    <row r="46">
      <c r="A46" s="2">
        <f>= ENCODERS ==</f>
        <v/>
      </c>
      <c r="B46" s="3" t="n"/>
      <c r="C46" s="3" t="n"/>
      <c r="D46" s="3" t="n"/>
      <c r="E46" s="4" t="n"/>
    </row>
    <row r="47">
      <c r="A47" s="5" t="inlineStr">
        <is>
          <t>Encoder Izquierdo</t>
        </is>
      </c>
      <c r="B47" s="5" t="inlineStr">
        <is>
          <t>Canal A</t>
        </is>
      </c>
      <c r="C47" s="5" t="inlineStr">
        <is>
          <t>GPIO4</t>
        </is>
      </c>
      <c r="D47" s="5" t="inlineStr">
        <is>
          <t>Digital IN (IRQ)</t>
        </is>
      </c>
      <c r="E47" s="5" t="inlineStr">
        <is>
          <t>Pulsos del encoder — genera interrupción para contar pasos del motor izq</t>
        </is>
      </c>
    </row>
    <row r="48">
      <c r="A48" s="5" t="inlineStr">
        <is>
          <t>Encoder Izquierdo</t>
        </is>
      </c>
      <c r="B48" s="5" t="inlineStr">
        <is>
          <t>Canal B</t>
        </is>
      </c>
      <c r="C48" s="5" t="inlineStr">
        <is>
          <t>GPIO18</t>
        </is>
      </c>
      <c r="D48" s="5" t="inlineStr">
        <is>
          <t>Digital IN</t>
        </is>
      </c>
      <c r="E48" s="5" t="inlineStr">
        <is>
          <t>Canal B — se lee para saber la dirección de giro (adelante/atrás)</t>
        </is>
      </c>
    </row>
    <row r="49">
      <c r="A49" s="5" t="inlineStr">
        <is>
          <t>Encoder Derecho</t>
        </is>
      </c>
      <c r="B49" s="5" t="inlineStr">
        <is>
          <t>Canal A</t>
        </is>
      </c>
      <c r="C49" s="5" t="inlineStr">
        <is>
          <t>GPIO19</t>
        </is>
      </c>
      <c r="D49" s="5" t="inlineStr">
        <is>
          <t>Digital IN (IRQ)</t>
        </is>
      </c>
      <c r="E49" s="5" t="inlineStr">
        <is>
          <t>Pulsos del encoder — genera interrupción para contar pasos del motor der</t>
        </is>
      </c>
    </row>
    <row r="50">
      <c r="A50" s="5" t="inlineStr">
        <is>
          <t>Encoder Derecho</t>
        </is>
      </c>
      <c r="B50" s="5" t="inlineStr">
        <is>
          <t>Canal B</t>
        </is>
      </c>
      <c r="C50" s="5" t="inlineStr">
        <is>
          <t>GPIO23</t>
        </is>
      </c>
      <c r="D50" s="5" t="inlineStr">
        <is>
          <t>Digital IN</t>
        </is>
      </c>
      <c r="E50" s="5" t="inlineStr">
        <is>
          <t>Canal B — se lee para saber la dirección de giro (adelante/atrás)</t>
        </is>
      </c>
    </row>
    <row r="51">
      <c r="A51" s="5" t="inlineStr">
        <is>
          <t>Encoders (ambos)</t>
        </is>
      </c>
      <c r="B51" s="5" t="inlineStr">
        <is>
          <t>VCC</t>
        </is>
      </c>
      <c r="C51" s="5" t="inlineStr">
        <is>
          <t>3.3V o 5V</t>
        </is>
      </c>
      <c r="D51" s="5" t="inlineStr">
        <is>
          <t>Alimentación</t>
        </is>
      </c>
      <c r="E51" s="5" t="inlineStr">
        <is>
          <t>Alimentación del encoder — verificar voltaje que necesita tu modelo</t>
        </is>
      </c>
    </row>
    <row r="52">
      <c r="A52" s="5" t="inlineStr">
        <is>
          <t>Encoders (ambos)</t>
        </is>
      </c>
      <c r="B52" s="5" t="inlineStr">
        <is>
          <t>GND</t>
        </is>
      </c>
      <c r="C52" s="5" t="inlineStr">
        <is>
          <t>GND</t>
        </is>
      </c>
      <c r="D52" s="5" t="inlineStr">
        <is>
          <t>Tierra</t>
        </is>
      </c>
      <c r="E52" s="5" t="inlineStr">
        <is>
          <t>Tierra</t>
        </is>
      </c>
    </row>
  </sheetData>
  <mergeCells count="6">
    <mergeCell ref="A38:E38"/>
    <mergeCell ref="A2:E2"/>
    <mergeCell ref="A25:E25"/>
    <mergeCell ref="A46:E46"/>
    <mergeCell ref="A32:E32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55" customWidth="1" min="5" max="5"/>
  </cols>
  <sheetData>
    <row r="1">
      <c r="A1" s="1" t="inlineStr">
        <is>
          <t>Componente</t>
        </is>
      </c>
      <c r="B1" s="1" t="inlineStr">
        <is>
          <t>Pin del Componente</t>
        </is>
      </c>
      <c r="C1" s="1" t="inlineStr">
        <is>
          <t>GPIO del ESP32</t>
        </is>
      </c>
      <c r="D1" s="1" t="inlineStr">
        <is>
          <t>Tipo de Señal</t>
        </is>
      </c>
      <c r="E1" s="1" t="inlineStr">
        <is>
          <t>Descripción</t>
        </is>
      </c>
    </row>
    <row r="2">
      <c r="A2" s="2">
        <f>= PINES INTERNOS OV2640 (NO CAMBIAR) ==</f>
        <v/>
      </c>
      <c r="B2" s="3" t="n"/>
      <c r="C2" s="3" t="n"/>
      <c r="D2" s="3" t="n"/>
      <c r="E2" s="4" t="n"/>
    </row>
    <row r="3">
      <c r="A3" s="5" t="inlineStr">
        <is>
          <t>OV2640 (Cámara)</t>
        </is>
      </c>
      <c r="B3" s="5" t="inlineStr">
        <is>
          <t>SSCB_SDA</t>
        </is>
      </c>
      <c r="C3" s="5" t="inlineStr">
        <is>
          <t>GPIO26</t>
        </is>
      </c>
      <c r="D3" s="5" t="inlineStr">
        <is>
          <t>I2C Data</t>
        </is>
      </c>
      <c r="E3" s="5" t="inlineStr">
        <is>
          <t>I2C interno para controlar el sensor de imagen OV2640 — pin fijo del módulo Ai-Thinker</t>
        </is>
      </c>
    </row>
    <row r="4">
      <c r="A4" s="5" t="inlineStr">
        <is>
          <t>OV2640 (Cámara)</t>
        </is>
      </c>
      <c r="B4" s="5" t="inlineStr">
        <is>
          <t>SSCB_SCL</t>
        </is>
      </c>
      <c r="C4" s="5" t="inlineStr">
        <is>
          <t>GPIO27</t>
        </is>
      </c>
      <c r="D4" s="5" t="inlineStr">
        <is>
          <t>I2C Clock</t>
        </is>
      </c>
      <c r="E4" s="5" t="inlineStr">
        <is>
          <t>I2C interno para controlar el sensor de imagen OV2640 — pin fijo del módulo Ai-Thinker</t>
        </is>
      </c>
    </row>
    <row r="5">
      <c r="A5" s="5" t="inlineStr">
        <is>
          <t>OV2640 (Cámara)</t>
        </is>
      </c>
      <c r="B5" s="5" t="inlineStr">
        <is>
          <t>XCLK</t>
        </is>
      </c>
      <c r="C5" s="5" t="inlineStr">
        <is>
          <t>GPIO0</t>
        </is>
      </c>
      <c r="D5" s="5" t="inlineStr">
        <is>
          <t>Clock Output</t>
        </is>
      </c>
      <c r="E5" s="5" t="inlineStr">
        <is>
          <t>Reloj maestro para el sensor de imagen a 20MHz</t>
        </is>
      </c>
    </row>
    <row r="6">
      <c r="A6" s="5" t="inlineStr">
        <is>
          <t>OV2640 (Cámara)</t>
        </is>
      </c>
      <c r="B6" s="5" t="inlineStr">
        <is>
          <t>PCLK</t>
        </is>
      </c>
      <c r="C6" s="5" t="inlineStr">
        <is>
          <t>GPIO22</t>
        </is>
      </c>
      <c r="D6" s="5" t="inlineStr">
        <is>
          <t>Clock Input</t>
        </is>
      </c>
      <c r="E6" s="5" t="inlineStr">
        <is>
          <t>Reloj de píxeles — sincroniza la lectura de datos de imagen</t>
        </is>
      </c>
    </row>
    <row r="7">
      <c r="A7" s="5" t="inlineStr">
        <is>
          <t>OV2640 (Cámara)</t>
        </is>
      </c>
      <c r="B7" s="5" t="inlineStr">
        <is>
          <t>VSYNC</t>
        </is>
      </c>
      <c r="C7" s="5" t="inlineStr">
        <is>
          <t>GPIO25</t>
        </is>
      </c>
      <c r="D7" s="5" t="inlineStr">
        <is>
          <t>Sync</t>
        </is>
      </c>
      <c r="E7" s="5" t="inlineStr">
        <is>
          <t>Sincronización vertical — indica inicio/fin de cada frame</t>
        </is>
      </c>
    </row>
    <row r="8">
      <c r="A8" s="5" t="inlineStr">
        <is>
          <t>OV2640 (Cámara)</t>
        </is>
      </c>
      <c r="B8" s="5" t="inlineStr">
        <is>
          <t>HREF</t>
        </is>
      </c>
      <c r="C8" s="5" t="inlineStr">
        <is>
          <t>GPIO23</t>
        </is>
      </c>
      <c r="D8" s="5" t="inlineStr">
        <is>
          <t>Sync</t>
        </is>
      </c>
      <c r="E8" s="5" t="inlineStr">
        <is>
          <t>Sincronización horizontal — indica inicio/fin de cada línea de píxeles</t>
        </is>
      </c>
    </row>
    <row r="9">
      <c r="A9" s="5" t="inlineStr">
        <is>
          <t>OV2640 (Cámara)</t>
        </is>
      </c>
      <c r="B9" s="5" t="inlineStr">
        <is>
          <t>D0-D7</t>
        </is>
      </c>
      <c r="C9" s="5" t="inlineStr">
        <is>
          <t>GPIO 5,18,19,21,36,39,34,35</t>
        </is>
      </c>
      <c r="D9" s="5" t="inlineStr">
        <is>
          <t>Data Bus</t>
        </is>
      </c>
      <c r="E9" s="5" t="inlineStr">
        <is>
          <t>Bus de datos paralelo de 8 bits — transfiere los píxeles de la imagen</t>
        </is>
      </c>
    </row>
    <row r="10">
      <c r="A10" s="5" t="inlineStr">
        <is>
          <t>OV2640 (Cámara)</t>
        </is>
      </c>
      <c r="B10" s="5" t="inlineStr">
        <is>
          <t>PWDN</t>
        </is>
      </c>
      <c r="C10" s="5" t="inlineStr">
        <is>
          <t>GPIO32</t>
        </is>
      </c>
      <c r="D10" s="5" t="inlineStr">
        <is>
          <t>Digital OUT</t>
        </is>
      </c>
      <c r="E10" s="5" t="inlineStr">
        <is>
          <t>Power Down — controla el encendido/apagado del sensor de imagen</t>
        </is>
      </c>
    </row>
    <row r="11">
      <c r="A11" s="5" t="inlineStr">
        <is>
          <t>OV2640 (Cámara)</t>
        </is>
      </c>
      <c r="B11" s="5" t="inlineStr">
        <is>
          <t>RESET</t>
        </is>
      </c>
      <c r="C11" s="5" t="inlineStr">
        <is>
          <t>-1 (no conectado)</t>
        </is>
      </c>
      <c r="D11" s="5" t="inlineStr">
        <is>
          <t>N/A</t>
        </is>
      </c>
      <c r="E11" s="5" t="inlineStr">
        <is>
          <t>Reset del sensor — no se usa, se deja sin conectar</t>
        </is>
      </c>
    </row>
    <row r="13">
      <c r="A13" s="2">
        <f>= COMUNICACIÓN ESP-NOW ==</f>
        <v/>
      </c>
      <c r="B13" s="3" t="n"/>
      <c r="C13" s="3" t="n"/>
      <c r="D13" s="3" t="n"/>
      <c r="E13" s="4" t="n"/>
    </row>
    <row r="14">
      <c r="A14" s="5" t="inlineStr">
        <is>
          <t>WiFi (interna)</t>
        </is>
      </c>
      <c r="B14" s="5" t="inlineStr">
        <is>
          <t>Antena integrada</t>
        </is>
      </c>
      <c r="C14" s="5" t="inlineStr">
        <is>
          <t>N/A</t>
        </is>
      </c>
      <c r="D14" s="5" t="inlineStr">
        <is>
          <t>ESP-NOW</t>
        </is>
      </c>
      <c r="E14" s="5" t="inlineStr">
        <is>
          <t>Comunicación inalámbrica con el cerebro ESP32 — envía coordenadas del balón</t>
        </is>
      </c>
    </row>
    <row r="16">
      <c r="A16" s="2">
        <f>= ALIMENTACIÓN ==</f>
        <v/>
      </c>
      <c r="B16" s="3" t="n"/>
      <c r="C16" s="3" t="n"/>
      <c r="D16" s="3" t="n"/>
      <c r="E16" s="4" t="n"/>
    </row>
    <row r="17">
      <c r="A17" s="5" t="inlineStr">
        <is>
          <t>ESP32-CAM</t>
        </is>
      </c>
      <c r="B17" s="5" t="inlineStr">
        <is>
          <t>5V / VCC</t>
        </is>
      </c>
      <c r="C17" s="5" t="inlineStr">
        <is>
          <t>5V fuente</t>
        </is>
      </c>
      <c r="D17" s="5" t="inlineStr">
        <is>
          <t>Alimentación</t>
        </is>
      </c>
      <c r="E17" s="5" t="inlineStr">
        <is>
          <t>La ESP32-CAM necesita 5V estables — NO alimentar solo por el pin 3.3V</t>
        </is>
      </c>
    </row>
    <row r="18">
      <c r="A18" s="5" t="inlineStr">
        <is>
          <t>ESP32-CAM</t>
        </is>
      </c>
      <c r="B18" s="5" t="inlineStr">
        <is>
          <t>GND</t>
        </is>
      </c>
      <c r="C18" s="5" t="inlineStr">
        <is>
          <t>GND</t>
        </is>
      </c>
      <c r="D18" s="5" t="inlineStr">
        <is>
          <t>Tierra</t>
        </is>
      </c>
      <c r="E18" s="5" t="inlineStr">
        <is>
          <t>Tierra — compartir con el cerebro si están en el mismo robot</t>
        </is>
      </c>
    </row>
  </sheetData>
  <mergeCells count="3">
    <mergeCell ref="A2:E2"/>
    <mergeCell ref="A16:E16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>
      <c r="A1" s="1" t="inlineStr">
        <is>
          <t>GPIO</t>
        </is>
      </c>
      <c r="B1" s="1" t="inlineStr">
        <is>
          <t>Función</t>
        </is>
      </c>
      <c r="C1" s="1" t="inlineStr">
        <is>
          <t>Dirección</t>
        </is>
      </c>
      <c r="D1" s="1" t="inlineStr">
        <is>
          <t>Componente</t>
        </is>
      </c>
      <c r="E1" s="1" t="inlineStr">
        <is>
          <t>Notas</t>
        </is>
      </c>
    </row>
    <row r="2">
      <c r="A2" s="6" t="inlineStr">
        <is>
          <t>GPIO4</t>
        </is>
      </c>
      <c r="B2" s="6" t="inlineStr">
        <is>
          <t>Encoder Izq canal A</t>
        </is>
      </c>
      <c r="C2" s="6" t="inlineStr">
        <is>
          <t>INPUT (IRQ)</t>
        </is>
      </c>
      <c r="D2" s="6" t="inlineStr">
        <is>
          <t>Encoder</t>
        </is>
      </c>
      <c r="E2" s="6" t="inlineStr"/>
    </row>
    <row r="3">
      <c r="A3" s="7" t="inlineStr">
        <is>
          <t>GPIO5</t>
        </is>
      </c>
      <c r="B3" s="7" t="inlineStr">
        <is>
          <t>XSHUT ToF Frente</t>
        </is>
      </c>
      <c r="C3" s="7" t="inlineStr">
        <is>
          <t>OUTPUT</t>
        </is>
      </c>
      <c r="D3" s="7" t="inlineStr">
        <is>
          <t>VL53L0X</t>
        </is>
      </c>
      <c r="E3" s="7" t="inlineStr">
        <is>
          <t>Strapping pin — puede afectar boot</t>
        </is>
      </c>
    </row>
    <row r="4">
      <c r="A4" s="6" t="inlineStr">
        <is>
          <t>GPIO14</t>
        </is>
      </c>
      <c r="B4" s="6" t="inlineStr">
        <is>
          <t>Motor Der avance (R_PWM)</t>
        </is>
      </c>
      <c r="C4" s="6" t="inlineStr">
        <is>
          <t>PWM OUT</t>
        </is>
      </c>
      <c r="D4" s="6" t="inlineStr">
        <is>
          <t>BTS7960</t>
        </is>
      </c>
      <c r="E4" s="6" t="inlineStr"/>
    </row>
    <row r="5">
      <c r="A5" s="6" t="inlineStr">
        <is>
          <t>GPIO16</t>
        </is>
      </c>
      <c r="B5" s="6" t="inlineStr">
        <is>
          <t>I2C SDA</t>
        </is>
      </c>
      <c r="C5" s="6" t="inlineStr">
        <is>
          <t>I2C</t>
        </is>
      </c>
      <c r="D5" s="6" t="inlineStr">
        <is>
          <t>ToF x3 + BNO055</t>
        </is>
      </c>
      <c r="E5" s="6" t="inlineStr">
        <is>
          <t>Bus compartido</t>
        </is>
      </c>
    </row>
    <row r="6">
      <c r="A6" s="6" t="inlineStr">
        <is>
          <t>GPIO17</t>
        </is>
      </c>
      <c r="B6" s="6" t="inlineStr">
        <is>
          <t>I2C SCL</t>
        </is>
      </c>
      <c r="C6" s="6" t="inlineStr">
        <is>
          <t>I2C</t>
        </is>
      </c>
      <c r="D6" s="6" t="inlineStr">
        <is>
          <t>ToF x3 + BNO055</t>
        </is>
      </c>
      <c r="E6" s="6" t="inlineStr">
        <is>
          <t>Bus compartido</t>
        </is>
      </c>
    </row>
    <row r="7">
      <c r="A7" s="6" t="inlineStr">
        <is>
          <t>GPIO18</t>
        </is>
      </c>
      <c r="B7" s="6" t="inlineStr">
        <is>
          <t>Encoder Izq canal B</t>
        </is>
      </c>
      <c r="C7" s="6" t="inlineStr">
        <is>
          <t>INPUT</t>
        </is>
      </c>
      <c r="D7" s="6" t="inlineStr">
        <is>
          <t>Encoder</t>
        </is>
      </c>
      <c r="E7" s="6" t="inlineStr"/>
    </row>
    <row r="8">
      <c r="A8" s="6" t="inlineStr">
        <is>
          <t>GPIO19</t>
        </is>
      </c>
      <c r="B8" s="6" t="inlineStr">
        <is>
          <t>Encoder Der canal A</t>
        </is>
      </c>
      <c r="C8" s="6" t="inlineStr">
        <is>
          <t>INPUT (IRQ)</t>
        </is>
      </c>
      <c r="D8" s="6" t="inlineStr">
        <is>
          <t>Encoder</t>
        </is>
      </c>
      <c r="E8" s="6" t="inlineStr"/>
    </row>
    <row r="9">
      <c r="A9" s="6" t="inlineStr">
        <is>
          <t>GPIO23</t>
        </is>
      </c>
      <c r="B9" s="6" t="inlineStr">
        <is>
          <t>Encoder Der canal B</t>
        </is>
      </c>
      <c r="C9" s="6" t="inlineStr">
        <is>
          <t>INPUT</t>
        </is>
      </c>
      <c r="D9" s="6" t="inlineStr">
        <is>
          <t>Encoder</t>
        </is>
      </c>
      <c r="E9" s="6" t="inlineStr"/>
    </row>
    <row r="10">
      <c r="A10" s="6" t="inlineStr">
        <is>
          <t>GPIO25</t>
        </is>
      </c>
      <c r="B10" s="6" t="inlineStr">
        <is>
          <t>Motor Izq reversa (L_PWM)</t>
        </is>
      </c>
      <c r="C10" s="6" t="inlineStr">
        <is>
          <t>PWM OUT</t>
        </is>
      </c>
      <c r="D10" s="6" t="inlineStr">
        <is>
          <t>BTS7960</t>
        </is>
      </c>
      <c r="E10" s="6" t="inlineStr"/>
    </row>
    <row r="11">
      <c r="A11" s="6" t="inlineStr">
        <is>
          <t>GPIO26</t>
        </is>
      </c>
      <c r="B11" s="6" t="inlineStr">
        <is>
          <t>Motor Izq avance (R_PWM)</t>
        </is>
      </c>
      <c r="C11" s="6" t="inlineStr">
        <is>
          <t>PWM OUT</t>
        </is>
      </c>
      <c r="D11" s="6" t="inlineStr">
        <is>
          <t>BTS7960</t>
        </is>
      </c>
      <c r="E11" s="6" t="inlineStr"/>
    </row>
    <row r="12">
      <c r="A12" s="6" t="inlineStr">
        <is>
          <t>GPIO27</t>
        </is>
      </c>
      <c r="B12" s="6" t="inlineStr">
        <is>
          <t>Motor Der reversa (L_PWM)</t>
        </is>
      </c>
      <c r="C12" s="6" t="inlineStr">
        <is>
          <t>PWM OUT</t>
        </is>
      </c>
      <c r="D12" s="6" t="inlineStr">
        <is>
          <t>BTS7960</t>
        </is>
      </c>
      <c r="E12" s="6" t="inlineStr"/>
    </row>
    <row r="13">
      <c r="A13" s="6" t="inlineStr">
        <is>
          <t>GPIO32</t>
        </is>
      </c>
      <c r="B13" s="6" t="inlineStr">
        <is>
          <t>XSHUT ToF Izquierda</t>
        </is>
      </c>
      <c r="C13" s="6" t="inlineStr">
        <is>
          <t>OUTPUT</t>
        </is>
      </c>
      <c r="D13" s="6" t="inlineStr">
        <is>
          <t>VL53L0X</t>
        </is>
      </c>
      <c r="E13" s="6" t="inlineStr"/>
    </row>
    <row r="14">
      <c r="A14" s="6" t="inlineStr">
        <is>
          <t>GPIO33</t>
        </is>
      </c>
      <c r="B14" s="6" t="inlineStr">
        <is>
          <t>XSHUT ToF Derecha</t>
        </is>
      </c>
      <c r="C14" s="6" t="inlineStr">
        <is>
          <t>OUTPUT</t>
        </is>
      </c>
      <c r="D14" s="6" t="inlineStr">
        <is>
          <t>VL53L0X</t>
        </is>
      </c>
      <c r="E14" s="6" t="inlineStr"/>
    </row>
    <row r="15">
      <c r="A15" s="6" t="inlineStr">
        <is>
          <t>GPIO36 (VP)</t>
        </is>
      </c>
      <c r="B15" s="6" t="inlineStr">
        <is>
          <t>QTR canal 1</t>
        </is>
      </c>
      <c r="C15" s="6" t="inlineStr">
        <is>
          <t>ADC IN</t>
        </is>
      </c>
      <c r="D15" s="6" t="inlineStr">
        <is>
          <t>QTR-8A</t>
        </is>
      </c>
      <c r="E15" s="6" t="inlineStr">
        <is>
          <t>Solo lectura (input only)</t>
        </is>
      </c>
    </row>
    <row r="16">
      <c r="A16" s="6" t="inlineStr">
        <is>
          <t>GPIO39 (VN)</t>
        </is>
      </c>
      <c r="B16" s="6" t="inlineStr">
        <is>
          <t>QTR canal 2</t>
        </is>
      </c>
      <c r="C16" s="6" t="inlineStr">
        <is>
          <t>ADC IN</t>
        </is>
      </c>
      <c r="D16" s="6" t="inlineStr">
        <is>
          <t>QTR-8A</t>
        </is>
      </c>
      <c r="E16" s="6" t="inlineStr">
        <is>
          <t>Solo lectura (input only)</t>
        </is>
      </c>
    </row>
    <row r="17">
      <c r="A17" s="5" t="inlineStr"/>
      <c r="B17" s="5" t="inlineStr"/>
      <c r="C17" s="5" t="inlineStr"/>
      <c r="D17" s="5" t="inlineStr"/>
      <c r="E17" s="5" t="inlineStr"/>
    </row>
    <row r="18">
      <c r="A18" s="8" t="inlineStr">
        <is>
          <t>GPIO2</t>
        </is>
      </c>
      <c r="B18" s="8" t="inlineStr">
        <is>
          <t>LIBRE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Tiene LED integrado en algunos boards</t>
        </is>
      </c>
    </row>
    <row r="19">
      <c r="A19" s="8" t="inlineStr">
        <is>
          <t>GPIO12</t>
        </is>
      </c>
      <c r="B19" s="8" t="inlineStr">
        <is>
          <t>LIBRE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Strapping pin (MTDI) — cuidado al boot</t>
        </is>
      </c>
    </row>
    <row r="20">
      <c r="A20" s="8" t="inlineStr">
        <is>
          <t>GPIO13</t>
        </is>
      </c>
      <c r="B20" s="8" t="inlineStr">
        <is>
          <t>LIBRE</t>
        </is>
      </c>
      <c r="C20" s="8" t="inlineStr">
        <is>
          <t>—</t>
        </is>
      </c>
      <c r="D20" s="8" t="inlineStr">
        <is>
          <t>—</t>
        </is>
      </c>
      <c r="E20" s="8" t="inlineStr"/>
    </row>
    <row r="21">
      <c r="A21" s="8" t="inlineStr">
        <is>
          <t>GPIO15</t>
        </is>
      </c>
      <c r="B21" s="8" t="inlineStr">
        <is>
          <t>LIBRE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Strapping pin (MTDO)</t>
        </is>
      </c>
    </row>
    <row r="22">
      <c r="A22" s="8" t="inlineStr">
        <is>
          <t>GPIO21</t>
        </is>
      </c>
      <c r="B22" s="8" t="inlineStr">
        <is>
          <t>LIBRE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Default SDA (no usado)</t>
        </is>
      </c>
    </row>
    <row r="23">
      <c r="A23" s="8" t="inlineStr">
        <is>
          <t>GPIO22</t>
        </is>
      </c>
      <c r="B23" s="8" t="inlineStr">
        <is>
          <t>LIBRE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Default SCL (no usado)</t>
        </is>
      </c>
    </row>
    <row r="24">
      <c r="A24" s="8" t="inlineStr">
        <is>
          <t>GPIO34</t>
        </is>
      </c>
      <c r="B24" s="8" t="inlineStr">
        <is>
          <t>LIBRE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Solo input (no tiene output)</t>
        </is>
      </c>
    </row>
    <row r="25">
      <c r="A25" s="8" t="inlineStr">
        <is>
          <t>GPIO35</t>
        </is>
      </c>
      <c r="B25" s="8" t="inlineStr">
        <is>
          <t>LIBRE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Solo input (no tiene output)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50" customWidth="1" min="4" max="4"/>
  </cols>
  <sheetData>
    <row r="1">
      <c r="A1" s="1" t="inlineStr">
        <is>
          <t>Dispositivo</t>
        </is>
      </c>
      <c r="B1" s="1" t="inlineStr">
        <is>
          <t>Dirección I2C</t>
        </is>
      </c>
      <c r="C1" s="1" t="inlineStr">
        <is>
          <t>Dirección Default</t>
        </is>
      </c>
      <c r="D1" s="1" t="inlineStr">
        <is>
          <t>Cómo se asigna</t>
        </is>
      </c>
    </row>
    <row r="2">
      <c r="A2" s="5" t="inlineStr">
        <is>
          <t>VL53L0X Frente</t>
        </is>
      </c>
      <c r="B2" s="5" t="inlineStr">
        <is>
          <t>0x30</t>
        </is>
      </c>
      <c r="C2" s="5" t="inlineStr">
        <is>
          <t>0x29</t>
        </is>
      </c>
      <c r="D2" s="5" t="inlineStr">
        <is>
          <t>Se cambia por software después de encender con XSHUT (GPIO5)</t>
        </is>
      </c>
    </row>
    <row r="3">
      <c r="A3" s="5" t="inlineStr">
        <is>
          <t>VL53L0X Izquierda</t>
        </is>
      </c>
      <c r="B3" s="5" t="inlineStr">
        <is>
          <t>0x31</t>
        </is>
      </c>
      <c r="C3" s="5" t="inlineStr">
        <is>
          <t>0x29</t>
        </is>
      </c>
      <c r="D3" s="5" t="inlineStr">
        <is>
          <t>Se cambia por software después de encender con XSHUT (GPIO32)</t>
        </is>
      </c>
    </row>
    <row r="4">
      <c r="A4" s="5" t="inlineStr">
        <is>
          <t>VL53L0X Derecha</t>
        </is>
      </c>
      <c r="B4" s="5" t="inlineStr">
        <is>
          <t>0x32</t>
        </is>
      </c>
      <c r="C4" s="5" t="inlineStr">
        <is>
          <t>0x29</t>
        </is>
      </c>
      <c r="D4" s="5" t="inlineStr">
        <is>
          <t>Se cambia por software después de encender con XSHUT (GPIO33)</t>
        </is>
      </c>
    </row>
    <row r="5">
      <c r="A5" s="5" t="inlineStr">
        <is>
          <t>BNO055</t>
        </is>
      </c>
      <c r="B5" s="5" t="inlineStr">
        <is>
          <t>0x29</t>
        </is>
      </c>
      <c r="C5" s="5" t="inlineStr">
        <is>
          <t>0x29 (ADR=HIGH o flotante)</t>
        </is>
      </c>
      <c r="D5" s="5" t="inlineStr">
        <is>
          <t>Pin ADR determina dirección: GND=0x28, HIGH/flotante=0x29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2026-05-20T16:00:29Z</dcterms:created>
  <dcterms:modified xsi:type="dcterms:W3CDTF">2026-05-20T16:00:29Z</dcterms:modified>
</cp:coreProperties>
</file>